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codeName="ThisWorkbook"/>
  <xr:revisionPtr revIDLastSave="0" documentId="13_ncr:1_{1A223BD4-D6DC-48A4-849A-803F3A52597D}" xr6:coauthVersionLast="47" xr6:coauthVersionMax="47" xr10:uidLastSave="{00000000-0000-0000-0000-000000000000}"/>
  <bookViews>
    <workbookView xWindow="-120" yWindow="-120" windowWidth="20730" windowHeight="11160" tabRatio="628"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11" l="1"/>
  <c r="E10" i="11" s="1"/>
  <c r="F10" i="11" s="1"/>
  <c r="F11" i="11"/>
  <c r="E3" i="11"/>
  <c r="H7" i="11"/>
  <c r="H9" i="11" l="1"/>
  <c r="E22" i="11"/>
  <c r="I5" i="11"/>
  <c r="I6" i="11" s="1"/>
  <c r="H34" i="11"/>
  <c r="H33" i="11"/>
  <c r="H32" i="11"/>
  <c r="H31" i="11"/>
  <c r="H30" i="11"/>
  <c r="H29" i="11"/>
  <c r="H27" i="11"/>
  <c r="H21" i="11"/>
  <c r="H14" i="11"/>
  <c r="H8" i="11"/>
  <c r="F22" i="11" l="1"/>
  <c r="E23" i="11" s="1"/>
  <c r="H22" i="11" l="1"/>
  <c r="F23" i="11"/>
  <c r="H23" i="11" s="1"/>
  <c r="E24" i="11"/>
  <c r="H28" i="11"/>
  <c r="J5" i="11"/>
  <c r="I4" i="11"/>
  <c r="E12" i="11" l="1"/>
  <c r="F12" i="11" s="1"/>
  <c r="H10" i="11"/>
  <c r="F24" i="11"/>
  <c r="E26" i="11"/>
  <c r="F26" i="11" s="1"/>
  <c r="H26" i="11" s="1"/>
  <c r="K5" i="11"/>
  <c r="J6" i="11"/>
  <c r="H12" i="11" l="1"/>
  <c r="E13" i="11"/>
  <c r="H11" i="11"/>
  <c r="H24" i="11"/>
  <c r="E25" i="11"/>
  <c r="F25" i="11" s="1"/>
  <c r="H25" i="11" s="1"/>
  <c r="L5" i="11"/>
  <c r="K6" i="11"/>
  <c r="F13" i="11" l="1"/>
  <c r="E15" i="11"/>
  <c r="M5" i="11"/>
  <c r="L6" i="11"/>
  <c r="E16" i="11" l="1"/>
  <c r="F15" i="11"/>
  <c r="H15" i="11" s="1"/>
  <c r="N5" i="11"/>
  <c r="M6" i="11"/>
  <c r="F16" i="11" l="1"/>
  <c r="E17" i="11" s="1"/>
  <c r="H16" i="11"/>
  <c r="O5" i="11"/>
  <c r="N6" i="11"/>
  <c r="E19" i="11" l="1"/>
  <c r="F17" i="11"/>
  <c r="H17" i="11" s="1"/>
  <c r="P5" i="11"/>
  <c r="O6" i="11"/>
  <c r="E20" i="11" l="1"/>
  <c r="F20" i="11" s="1"/>
  <c r="H20" i="11" s="1"/>
  <c r="F19" i="11"/>
  <c r="H19" i="11" s="1"/>
  <c r="P6" i="11"/>
  <c r="Q5" i="11"/>
  <c r="P4" i="11"/>
  <c r="R5" i="11" l="1"/>
  <c r="Q6" i="11"/>
  <c r="S5" i="11" l="1"/>
  <c r="R6" i="11"/>
  <c r="T5" i="11" l="1"/>
  <c r="S6" i="11"/>
  <c r="U5" i="11" l="1"/>
  <c r="T6" i="11"/>
  <c r="V5" i="11" l="1"/>
  <c r="U6" i="11"/>
  <c r="W5" i="11" l="1"/>
  <c r="V6" i="11"/>
  <c r="W6" i="11" l="1"/>
  <c r="X5" i="11"/>
  <c r="W4"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4" i="11" s="1"/>
  <c r="BF6" i="11" l="1"/>
  <c r="BG5" i="11"/>
  <c r="BG6" i="11" l="1"/>
  <c r="BH5" i="11"/>
  <c r="BH6" i="11" l="1"/>
  <c r="BI5" i="11"/>
  <c r="BI6" i="11" l="1"/>
  <c r="BJ5" i="11"/>
  <c r="BJ6" i="11" l="1"/>
  <c r="BK5" i="11"/>
  <c r="BK6" i="11" l="1"/>
  <c r="BL5" i="11"/>
  <c r="BL6" i="11" l="1"/>
  <c r="BM5" i="11"/>
  <c r="BM4" i="11" l="1"/>
  <c r="BN5" i="11"/>
  <c r="BM6" i="11"/>
  <c r="BO5" i="11" l="1"/>
  <c r="BN6" i="11"/>
  <c r="BP5" i="11" l="1"/>
  <c r="BO6" i="11"/>
  <c r="BQ5" i="11" l="1"/>
  <c r="BP6" i="11"/>
  <c r="BR5" i="11" l="1"/>
  <c r="BQ6" i="11"/>
  <c r="BS5" i="11" l="1"/>
  <c r="BR6" i="11"/>
  <c r="BT5" i="11" l="1"/>
  <c r="BS6" i="11"/>
  <c r="BT6" i="11" l="1"/>
  <c r="BT4" i="11"/>
  <c r="BU5" i="11"/>
  <c r="BV5" i="11" l="1"/>
  <c r="BU6" i="11"/>
  <c r="BW5" i="11" l="1"/>
  <c r="BV6" i="11"/>
  <c r="BX5" i="11" l="1"/>
  <c r="BW6" i="11"/>
  <c r="BY5" i="11" l="1"/>
  <c r="BX6" i="11"/>
  <c r="BZ5" i="11" l="1"/>
  <c r="BY6" i="11"/>
  <c r="CA5" i="11" l="1"/>
  <c r="BZ6" i="11"/>
  <c r="CA4" i="11" l="1"/>
  <c r="CB5" i="11"/>
  <c r="CA6" i="11"/>
  <c r="CC5" i="11" l="1"/>
  <c r="CB6" i="11"/>
  <c r="CD5" i="11" l="1"/>
  <c r="CC6" i="11"/>
  <c r="CE5" i="11" l="1"/>
  <c r="CD6" i="11"/>
  <c r="CF5" i="11" l="1"/>
  <c r="CE6" i="11"/>
  <c r="CF6" i="11" l="1"/>
  <c r="CG5" i="11"/>
  <c r="CG6" i="11" s="1"/>
</calcChain>
</file>

<file path=xl/sharedStrings.xml><?xml version="1.0" encoding="utf-8"?>
<sst xmlns="http://schemas.openxmlformats.org/spreadsheetml/2006/main" count="82" uniqueCount="62">
  <si>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</si>
  <si>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</si>
  <si>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</si>
  <si>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</si>
  <si>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</si>
  <si>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</si>
  <si>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</si>
  <si>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</si>
  <si>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</si>
  <si>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</si>
  <si>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</si>
  <si>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</si>
  <si>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</si>
  <si>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</si>
  <si>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TITRE DU PROJET</t>
  </si>
  <si>
    <t>TÂCHE</t>
  </si>
  <si>
    <t>Tâche 1</t>
  </si>
  <si>
    <t>Tâche 2</t>
  </si>
  <si>
    <t>Tâche 3</t>
  </si>
  <si>
    <t>Tâche 4</t>
  </si>
  <si>
    <t>Tâche 5</t>
  </si>
  <si>
    <t>Titre Phase 3</t>
  </si>
  <si>
    <t>Titre Phase 4</t>
  </si>
  <si>
    <t>Insérez les nouvelle lignes au-dessus de celle-ci.</t>
  </si>
  <si>
    <t>Début du projet :</t>
  </si>
  <si>
    <t>Semaine d’affichage :</t>
  </si>
  <si>
    <t>ATTRIBUÉE
À</t>
  </si>
  <si>
    <t>AVANCEMENT</t>
  </si>
  <si>
    <t>DÉBUT</t>
  </si>
  <si>
    <t>date</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</si>
  <si>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</si>
  <si>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</si>
  <si>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</si>
  <si>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</si>
  <si>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</si>
  <si>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</si>
  <si>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</si>
  <si>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</si>
  <si>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</si>
  <si>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</si>
  <si>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</si>
  <si>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</si>
  <si>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</si>
  <si>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</si>
  <si>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</si>
  <si>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</si>
  <si>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</si>
  <si>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 xml:space="preserve">Faire le Java Script </t>
  </si>
  <si>
    <t xml:space="preserve">tout le monde </t>
  </si>
  <si>
    <t xml:space="preserve">validation de la maquette </t>
  </si>
  <si>
    <t xml:space="preserve">chercher des image </t>
  </si>
  <si>
    <t xml:space="preserve">trouver un logo </t>
  </si>
  <si>
    <t xml:space="preserve"> réalisation d'une maquette
 pour la page d'acceuill </t>
  </si>
  <si>
    <t xml:space="preserve">Titre Phase: 2 :création </t>
  </si>
  <si>
    <r>
      <t xml:space="preserve"> Phase</t>
    </r>
    <r>
      <rPr>
        <sz val="11"/>
        <color theme="1"/>
        <rFont val="Calibri"/>
        <family val="2"/>
        <scheme val="minor"/>
      </rPr>
      <t xml:space="preserve"> 1:D'organisation </t>
    </r>
  </si>
  <si>
    <t xml:space="preserve">faire le CSS </t>
  </si>
  <si>
    <t>mise en place du projet sur GIT</t>
  </si>
  <si>
    <t>légend:</t>
  </si>
  <si>
    <t xml:space="preserve">faire le HTML :Réalisation de  Page produit enfant </t>
  </si>
  <si>
    <t>faire le HTML :Réalisation de  Page produit femme</t>
  </si>
  <si>
    <t>faire le HTML :Réalisation de  Page produit homme</t>
  </si>
  <si>
    <t>faire le HTML :Réalisation de  Page d'aceuil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</si>
</sst>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d/mm/yyyy"/>
    <numFmt numFmtId="168" formatCode="d"/>
    <numFmt numFmtId="169" formatCode="d\ mmm\ yyyy;@"/>
  </numFmts>
  <fonts count="3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theme="9" tint="0.79995117038483843"/>
      </patternFill>
    </fill>
    <fill>
      <patternFill patternType="solid">
        <fgColor theme="6" tint="-0.249977111117893"/>
        <bgColor indexed="64"/>
      </patternFill>
    </fill>
    <fill>
      <patternFill patternType="solid">
        <fgColor theme="9" tint="0.39997558519241921"/>
        <bgColor indexed="64"/>
      </patternFill>
    </fill>
  </fills>
  <borders count="4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rgb="FFFF0000"/>
      </left>
      <right style="thin">
        <color rgb="FFFF0000"/>
      </right>
      <top style="medium">
        <color theme="0" tint="-0.14996795556505021"/>
      </top>
      <bottom style="medium">
        <color theme="0" tint="-0.14996795556505021"/>
      </bottom>
      <diagonal/>
    </border>
    <border>
      <left/>
      <right style="thin">
        <color theme="0" tint="-0.34998626667073579"/>
      </right>
      <top/>
      <bottom style="medium">
        <color theme="0" tint="-0.14996795556505021"/>
      </bottom>
      <diagonal/>
    </border>
    <border>
      <left style="thin">
        <color theme="0" tint="-0.14993743705557422"/>
      </left>
      <right style="thin">
        <color theme="0" tint="-0.14993743705557422"/>
      </right>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3743705557422"/>
      </left>
      <right/>
      <top/>
      <bottom style="medium">
        <color theme="0" tint="-0.14996795556505021"/>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medium">
        <color theme="0" tint="-0.14996795556505021"/>
      </bottom>
      <diagonal/>
    </border>
    <border>
      <left style="thin">
        <color theme="0" tint="-0.249977111117893"/>
      </left>
      <right style="thin">
        <color theme="0" tint="-0.249977111117893"/>
      </right>
      <top style="thin">
        <color theme="0" tint="-0.249977111117893"/>
      </top>
      <bottom/>
      <diagonal/>
    </border>
    <border>
      <left style="thin">
        <color rgb="FFFF0000"/>
      </left>
      <right style="thin">
        <color rgb="FFFF0000"/>
      </right>
      <top/>
      <bottom/>
      <diagonal/>
    </border>
    <border>
      <left style="thin">
        <color rgb="FFFF0000"/>
      </left>
      <right style="thin">
        <color rgb="FFFF0000"/>
      </right>
      <top style="thin">
        <color rgb="FFFF0000"/>
      </top>
      <bottom style="thin">
        <color theme="0" tint="-0.249977111117893"/>
      </bottom>
      <diagonal/>
    </border>
    <border>
      <left style="thin">
        <color rgb="FFFF0000"/>
      </left>
      <right style="thin">
        <color rgb="FFFF0000"/>
      </right>
      <top style="thin">
        <color theme="0" tint="-0.249977111117893"/>
      </top>
      <bottom style="thin">
        <color theme="0" tint="-0.249977111117893"/>
      </bottom>
      <diagonal/>
    </border>
    <border>
      <left style="thin">
        <color rgb="FFFF0000"/>
      </left>
      <right style="thin">
        <color rgb="FFFF0000"/>
      </right>
      <top/>
      <bottom style="medium">
        <color theme="0" tint="-0.14996795556505021"/>
      </bottom>
      <diagonal/>
    </border>
    <border>
      <left style="thin">
        <color rgb="FFFF0000"/>
      </left>
      <right style="thin">
        <color rgb="FFFF0000"/>
      </right>
      <top style="medium">
        <color theme="0" tint="-0.14996795556505021"/>
      </top>
      <bottom style="thin">
        <color rgb="FFFF0000"/>
      </bottom>
      <diagonal/>
    </border>
    <border>
      <left style="thin">
        <color theme="0" tint="-0.14993743705557422"/>
      </left>
      <right style="thin">
        <color theme="0" tint="-0.14993743705557422"/>
      </right>
      <top style="medium">
        <color theme="0" tint="-0.14996795556505021"/>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3"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4" fillId="0" borderId="0" applyNumberFormat="0" applyFill="0" applyBorder="0" applyAlignment="0" applyProtection="0"/>
    <xf numFmtId="0" fontId="25" fillId="14" borderId="0" applyNumberFormat="0" applyBorder="0" applyAlignment="0" applyProtection="0"/>
    <xf numFmtId="0" fontId="26" fillId="15" borderId="0" applyNumberFormat="0" applyBorder="0" applyAlignment="0" applyProtection="0"/>
    <xf numFmtId="0" fontId="27" fillId="16" borderId="0" applyNumberFormat="0" applyBorder="0" applyAlignment="0" applyProtection="0"/>
    <xf numFmtId="0" fontId="28" fillId="17" borderId="11" applyNumberFormat="0" applyAlignment="0" applyProtection="0"/>
    <xf numFmtId="0" fontId="29" fillId="18" borderId="12" applyNumberFormat="0" applyAlignment="0" applyProtection="0"/>
    <xf numFmtId="0" fontId="30" fillId="18" borderId="11" applyNumberFormat="0" applyAlignment="0" applyProtection="0"/>
    <xf numFmtId="0" fontId="31" fillId="0" borderId="13" applyNumberFormat="0" applyFill="0" applyAlignment="0" applyProtection="0"/>
    <xf numFmtId="0" fontId="32" fillId="19" borderId="14" applyNumberFormat="0" applyAlignment="0" applyProtection="0"/>
    <xf numFmtId="0" fontId="33" fillId="0" borderId="0" applyNumberFormat="0" applyFill="0" applyBorder="0" applyAlignment="0" applyProtection="0"/>
    <xf numFmtId="0" fontId="9" fillId="20" borderId="15" applyNumberFormat="0" applyFont="0" applyAlignment="0" applyProtection="0"/>
    <xf numFmtId="0" fontId="34"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3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166" fontId="9" fillId="3" borderId="2" xfId="10" applyFill="1">
      <alignment horizontal="center" vertical="center"/>
    </xf>
    <xf numFmtId="166" fontId="9" fillId="4" borderId="2" xfId="10" applyFill="1">
      <alignment horizontal="center" vertical="center"/>
    </xf>
    <xf numFmtId="166" fontId="9" fillId="11" borderId="2" xfId="10" applyFill="1">
      <alignment horizontal="center" vertical="center"/>
    </xf>
    <xf numFmtId="166" fontId="9" fillId="10" borderId="2" xfId="10" applyFill="1">
      <alignment horizontal="center" vertical="center"/>
    </xf>
    <xf numFmtId="166" fontId="9" fillId="0" borderId="2" xfId="10">
      <alignment horizontal="center" vertical="center"/>
    </xf>
    <xf numFmtId="0" fontId="3" fillId="0" borderId="0" xfId="1" applyAlignment="1" applyProtection="1">
      <alignment vertical="top"/>
    </xf>
    <xf numFmtId="0" fontId="0" fillId="0" borderId="9" xfId="0" applyFill="1" applyBorder="1" applyAlignment="1">
      <alignment vertical="center"/>
    </xf>
    <xf numFmtId="0" fontId="0" fillId="0" borderId="9" xfId="0" applyFill="1" applyBorder="1" applyAlignment="1">
      <alignment horizontal="right" vertical="center"/>
    </xf>
    <xf numFmtId="0" fontId="0" fillId="0" borderId="17" xfId="0" applyFill="1" applyBorder="1" applyAlignment="1">
      <alignment vertical="center"/>
    </xf>
    <xf numFmtId="0" fontId="0" fillId="0" borderId="18" xfId="0" applyBorder="1" applyAlignment="1">
      <alignment vertical="center"/>
    </xf>
    <xf numFmtId="0" fontId="0" fillId="0" borderId="17" xfId="0" applyBorder="1" applyAlignment="1">
      <alignment vertical="center"/>
    </xf>
    <xf numFmtId="0" fontId="0" fillId="2" borderId="17" xfId="0" applyFill="1" applyBorder="1" applyAlignment="1">
      <alignment vertical="center"/>
    </xf>
    <xf numFmtId="0" fontId="0" fillId="0" borderId="18" xfId="0" applyFill="1" applyBorder="1" applyAlignment="1">
      <alignment vertical="center"/>
    </xf>
    <xf numFmtId="0" fontId="0" fillId="0" borderId="19" xfId="0" applyFill="1" applyBorder="1" applyAlignment="1">
      <alignment vertical="center"/>
    </xf>
    <xf numFmtId="0" fontId="0" fillId="45" borderId="0" xfId="0" applyFill="1" applyAlignment="1">
      <alignment vertical="center"/>
    </xf>
    <xf numFmtId="0" fontId="0" fillId="2" borderId="2" xfId="0" applyFill="1" applyBorder="1" applyAlignment="1">
      <alignment vertical="center"/>
    </xf>
    <xf numFmtId="9" fontId="0" fillId="0" borderId="2" xfId="2" applyFont="1" applyFill="1" applyBorder="1" applyAlignment="1">
      <alignment vertical="center"/>
    </xf>
    <xf numFmtId="0" fontId="0" fillId="0" borderId="2" xfId="0" applyFill="1" applyBorder="1" applyAlignment="1">
      <alignment vertical="center"/>
    </xf>
    <xf numFmtId="0" fontId="12" fillId="12" borderId="20" xfId="0" applyFont="1" applyFill="1" applyBorder="1" applyAlignment="1">
      <alignment horizontal="center" vertical="center" shrinkToFit="1"/>
    </xf>
    <xf numFmtId="0" fontId="0" fillId="0" borderId="21" xfId="0" applyBorder="1" applyAlignment="1">
      <alignment vertical="center"/>
    </xf>
    <xf numFmtId="168" fontId="11" fillId="7" borderId="0" xfId="0" applyNumberFormat="1" applyFont="1" applyFill="1" applyBorder="1" applyAlignment="1">
      <alignment horizontal="center" vertical="center"/>
    </xf>
    <xf numFmtId="0" fontId="0" fillId="0" borderId="23" xfId="0" applyBorder="1" applyAlignment="1">
      <alignment vertical="center"/>
    </xf>
    <xf numFmtId="168" fontId="11" fillId="7" borderId="22" xfId="0" applyNumberFormat="1" applyFont="1" applyFill="1" applyBorder="1" applyAlignment="1">
      <alignment horizontal="center" vertical="center"/>
    </xf>
    <xf numFmtId="0" fontId="12" fillId="12" borderId="22" xfId="0" applyFont="1" applyFill="1" applyBorder="1" applyAlignment="1">
      <alignment horizontal="center" vertical="center" shrinkToFit="1"/>
    </xf>
    <xf numFmtId="0" fontId="0" fillId="0" borderId="22" xfId="0" applyBorder="1" applyAlignment="1">
      <alignment vertical="center"/>
    </xf>
    <xf numFmtId="0" fontId="9" fillId="3" borderId="2" xfId="11" applyFill="1" applyAlignment="1">
      <alignment horizontal="center" vertical="center" wrapText="1"/>
    </xf>
    <xf numFmtId="0" fontId="9" fillId="0" borderId="0" xfId="8">
      <alignment horizontal="right" indent="1"/>
    </xf>
    <xf numFmtId="0" fontId="9" fillId="0" borderId="7" xfId="8" applyBorder="1">
      <alignment horizontal="right" indent="1"/>
    </xf>
    <xf numFmtId="0" fontId="0" fillId="0" borderId="10" xfId="0" applyBorder="1"/>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7" fontId="9" fillId="0" borderId="3" xfId="9">
      <alignment horizontal="center" vertical="center"/>
    </xf>
    <xf numFmtId="169" fontId="0" fillId="7" borderId="22" xfId="0" applyNumberFormat="1" applyFill="1" applyBorder="1" applyAlignment="1">
      <alignment horizontal="left" vertical="center" wrapText="1" indent="1"/>
    </xf>
    <xf numFmtId="168" fontId="11" fillId="7" borderId="24" xfId="0" applyNumberFormat="1" applyFont="1" applyFill="1" applyBorder="1" applyAlignment="1">
      <alignment horizontal="center" vertical="center"/>
    </xf>
    <xf numFmtId="0" fontId="12" fillId="12" borderId="24" xfId="0" applyFont="1" applyFill="1" applyBorder="1" applyAlignment="1">
      <alignment horizontal="center" vertical="center" shrinkToFit="1"/>
    </xf>
    <xf numFmtId="0" fontId="0" fillId="0" borderId="24" xfId="0" applyBorder="1" applyAlignment="1">
      <alignment vertical="center"/>
    </xf>
    <xf numFmtId="168" fontId="11" fillId="7" borderId="25" xfId="0" applyNumberFormat="1" applyFont="1" applyFill="1" applyBorder="1" applyAlignment="1">
      <alignment horizontal="center" vertical="center"/>
    </xf>
    <xf numFmtId="0" fontId="12" fillId="12" borderId="25" xfId="0" applyFont="1" applyFill="1" applyBorder="1" applyAlignment="1">
      <alignment horizontal="center" vertical="center" shrinkToFit="1"/>
    </xf>
    <xf numFmtId="0" fontId="0" fillId="0" borderId="25" xfId="0" applyBorder="1" applyAlignment="1">
      <alignment vertical="center"/>
    </xf>
    <xf numFmtId="0" fontId="0" fillId="0" borderId="2" xfId="0" applyBorder="1" applyAlignment="1">
      <alignment vertical="center"/>
    </xf>
    <xf numFmtId="169" fontId="0" fillId="7" borderId="27" xfId="0" applyNumberFormat="1" applyFill="1" applyBorder="1" applyAlignment="1">
      <alignment horizontal="left" vertical="center" wrapText="1" indent="1"/>
    </xf>
    <xf numFmtId="0" fontId="0" fillId="0" borderId="28" xfId="0" applyBorder="1"/>
    <xf numFmtId="168" fontId="11" fillId="7" borderId="29" xfId="0" applyNumberFormat="1" applyFont="1" applyFill="1" applyBorder="1" applyAlignment="1">
      <alignment horizontal="center" vertical="center"/>
    </xf>
    <xf numFmtId="0" fontId="12" fillId="12" borderId="30" xfId="0" applyFont="1" applyFill="1" applyBorder="1" applyAlignment="1">
      <alignment horizontal="center" vertical="center" shrinkToFit="1"/>
    </xf>
    <xf numFmtId="0" fontId="0" fillId="0" borderId="30" xfId="0" applyBorder="1" applyAlignment="1">
      <alignment vertical="center"/>
    </xf>
    <xf numFmtId="0" fontId="0" fillId="0" borderId="19" xfId="0" applyBorder="1" applyAlignment="1">
      <alignment vertical="center"/>
    </xf>
    <xf numFmtId="0" fontId="0" fillId="2" borderId="32" xfId="0" applyFill="1" applyBorder="1" applyAlignment="1">
      <alignment vertical="center"/>
    </xf>
    <xf numFmtId="0" fontId="0" fillId="0" borderId="33" xfId="0" applyBorder="1" applyAlignment="1">
      <alignment vertical="center"/>
    </xf>
    <xf numFmtId="0" fontId="0" fillId="46" borderId="21" xfId="0" applyFill="1" applyBorder="1" applyAlignment="1">
      <alignment vertical="center"/>
    </xf>
    <xf numFmtId="0" fontId="0" fillId="47" borderId="31" xfId="0" applyFill="1" applyBorder="1" applyAlignment="1">
      <alignment vertical="center"/>
    </xf>
    <xf numFmtId="0" fontId="0" fillId="47" borderId="26" xfId="0" applyFill="1" applyBorder="1" applyAlignment="1">
      <alignment vertical="center"/>
    </xf>
    <xf numFmtId="0" fontId="0" fillId="47" borderId="21" xfId="0" applyFill="1" applyBorder="1" applyAlignment="1">
      <alignment vertical="center"/>
    </xf>
    <xf numFmtId="0" fontId="0" fillId="47" borderId="9" xfId="0" applyFill="1" applyBorder="1" applyAlignment="1">
      <alignment vertical="center"/>
    </xf>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00000000-0005-0000-0000-00001C000000}"/>
    <cellStyle name="Début du projet" xfId="9" xr:uid="{00000000-0005-0000-0000-00001D000000}"/>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00000000-0005-0000-0000-000027000000}"/>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00000000-0005-0000-0000-00002C000000}"/>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00000000-0005-0000-0000-000035000000}"/>
  </cellStyles>
  <dxfs count="4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44"/>
      <tableStyleElement type="headerRow" dxfId="43"/>
      <tableStyleElement type="totalRow" dxfId="42"/>
      <tableStyleElement type="firstColumn" dxfId="41"/>
      <tableStyleElement type="lastColumn" dxfId="40"/>
      <tableStyleElement type="firstRowStripe" dxfId="39"/>
      <tableStyleElement type="secondRowStripe" dxfId="38"/>
      <tableStyleElement type="firstColumnStripe" dxfId="37"/>
      <tableStyleElement type="secondColumnStripe" dxfId="3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37"/>
  <sheetViews>
    <sheetView showGridLines="0" tabSelected="1" showRuler="0" zoomScale="85" zoomScaleNormal="85" zoomScalePageLayoutView="70" workbookViewId="0">
      <pane ySplit="6" topLeftCell="A13" activePane="bottomLeft" state="frozen"/>
      <selection pane="bottomLeft" activeCell="C18" sqref="C18"/>
    </sheetView>
  </sheetViews>
  <sheetFormatPr baseColWidth="10" defaultColWidth="9.140625" defaultRowHeight="30" customHeight="1" x14ac:dyDescent="0.25"/>
  <cols>
    <col min="1" max="1" width="2.7109375" style="44" customWidth="1"/>
    <col min="2" max="2" width="49" bestFit="1" customWidth="1"/>
    <col min="3" max="3" width="30.7109375" customWidth="1"/>
    <col min="4" max="4" width="12.42578125" customWidth="1"/>
    <col min="5" max="5" width="11" style="5" customWidth="1"/>
    <col min="6" max="6" width="10.42578125" customWidth="1"/>
    <col min="7" max="7" width="2.7109375" customWidth="1"/>
    <col min="8" max="8" width="9.5703125" hidden="1" customWidth="1"/>
    <col min="9" max="12" width="2.5703125" customWidth="1"/>
    <col min="13" max="13" width="2.7109375" bestFit="1" customWidth="1"/>
    <col min="14" max="64" width="2.5703125" customWidth="1"/>
    <col min="65" max="65" width="1.85546875" bestFit="1" customWidth="1"/>
    <col min="66" max="67" width="2.28515625" bestFit="1" customWidth="1"/>
    <col min="68" max="69" width="1.85546875" bestFit="1" customWidth="1"/>
    <col min="70" max="85" width="2.7109375" bestFit="1" customWidth="1"/>
  </cols>
  <sheetData>
    <row r="1" spans="1:85" ht="30" customHeight="1" x14ac:dyDescent="0.45">
      <c r="A1" s="45" t="s">
        <v>0</v>
      </c>
      <c r="B1" s="49" t="s">
        <v>14</v>
      </c>
      <c r="C1" s="1"/>
      <c r="D1" s="2"/>
      <c r="E1" s="4"/>
      <c r="F1" s="33"/>
      <c r="H1" s="2"/>
      <c r="I1" s="11" t="s">
        <v>32</v>
      </c>
      <c r="AH1" s="132" t="s">
        <v>57</v>
      </c>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4"/>
    </row>
    <row r="2" spans="1:85" ht="30" customHeight="1" x14ac:dyDescent="0.3">
      <c r="A2" s="44" t="s">
        <v>1</v>
      </c>
      <c r="B2" s="50"/>
      <c r="I2" s="47" t="s">
        <v>33</v>
      </c>
      <c r="AH2" s="135"/>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7"/>
    </row>
    <row r="3" spans="1:85" ht="30" customHeight="1" x14ac:dyDescent="0.25">
      <c r="A3" s="44" t="s">
        <v>2</v>
      </c>
      <c r="B3" s="51"/>
      <c r="C3" s="104" t="s">
        <v>24</v>
      </c>
      <c r="D3" s="105"/>
      <c r="E3" s="110">
        <f>DATE(2022,7,12)</f>
        <v>44754</v>
      </c>
      <c r="F3" s="110"/>
    </row>
    <row r="4" spans="1:85" ht="30" customHeight="1" x14ac:dyDescent="0.25">
      <c r="A4" s="45" t="s">
        <v>3</v>
      </c>
      <c r="C4" s="104" t="s">
        <v>25</v>
      </c>
      <c r="D4" s="105"/>
      <c r="E4" s="7">
        <v>1</v>
      </c>
      <c r="I4" s="111">
        <f>I5</f>
        <v>44753</v>
      </c>
      <c r="J4" s="111"/>
      <c r="K4" s="119"/>
      <c r="L4" s="111"/>
      <c r="M4" s="111"/>
      <c r="N4" s="111"/>
      <c r="O4" s="111"/>
      <c r="P4" s="108">
        <f>P5</f>
        <v>44760</v>
      </c>
      <c r="Q4" s="108"/>
      <c r="R4" s="108"/>
      <c r="S4" s="108"/>
      <c r="T4" s="108"/>
      <c r="U4" s="108"/>
      <c r="V4" s="109"/>
      <c r="W4" s="107">
        <f>W5</f>
        <v>44767</v>
      </c>
      <c r="X4" s="108"/>
      <c r="Y4" s="108"/>
      <c r="Z4" s="108"/>
      <c r="AA4" s="108"/>
      <c r="AB4" s="108"/>
      <c r="AC4" s="109"/>
      <c r="AD4" s="107">
        <f>AD5</f>
        <v>44774</v>
      </c>
      <c r="AE4" s="108"/>
      <c r="AF4" s="108"/>
      <c r="AG4" s="108"/>
      <c r="AH4" s="108"/>
      <c r="AI4" s="108"/>
      <c r="AJ4" s="109"/>
      <c r="AK4" s="107">
        <f>AK5</f>
        <v>44781</v>
      </c>
      <c r="AL4" s="108"/>
      <c r="AM4" s="108"/>
      <c r="AN4" s="108"/>
      <c r="AO4" s="108"/>
      <c r="AP4" s="108"/>
      <c r="AQ4" s="109"/>
      <c r="AR4" s="107">
        <f>AR5</f>
        <v>44788</v>
      </c>
      <c r="AS4" s="108"/>
      <c r="AT4" s="108"/>
      <c r="AU4" s="108"/>
      <c r="AV4" s="108"/>
      <c r="AW4" s="108"/>
      <c r="AX4" s="109"/>
      <c r="AY4" s="107">
        <f>AY5</f>
        <v>44795</v>
      </c>
      <c r="AZ4" s="108"/>
      <c r="BA4" s="108"/>
      <c r="BB4" s="108"/>
      <c r="BC4" s="108"/>
      <c r="BD4" s="108"/>
      <c r="BE4" s="109"/>
      <c r="BF4" s="107">
        <f>BF5</f>
        <v>44802</v>
      </c>
      <c r="BG4" s="108"/>
      <c r="BH4" s="108"/>
      <c r="BI4" s="108"/>
      <c r="BJ4" s="108"/>
      <c r="BK4" s="108"/>
      <c r="BL4" s="109"/>
      <c r="BM4" s="107">
        <f>BM5</f>
        <v>44809</v>
      </c>
      <c r="BN4" s="108"/>
      <c r="BO4" s="108"/>
      <c r="BP4" s="108"/>
      <c r="BQ4" s="108"/>
      <c r="BR4" s="108"/>
      <c r="BS4" s="109"/>
      <c r="BT4" s="107">
        <f>BT5</f>
        <v>44816</v>
      </c>
      <c r="BU4" s="108"/>
      <c r="BV4" s="108"/>
      <c r="BW4" s="108"/>
      <c r="BX4" s="108"/>
      <c r="BY4" s="108"/>
      <c r="BZ4" s="109"/>
      <c r="CA4" s="107">
        <f>CA5</f>
        <v>44823</v>
      </c>
      <c r="CB4" s="108"/>
      <c r="CC4" s="108"/>
      <c r="CD4" s="108"/>
      <c r="CE4" s="108"/>
      <c r="CF4" s="108"/>
      <c r="CG4" s="109"/>
    </row>
    <row r="5" spans="1:85" ht="15" customHeight="1" x14ac:dyDescent="0.25">
      <c r="A5" s="45" t="s">
        <v>4</v>
      </c>
      <c r="B5" s="106"/>
      <c r="C5" s="106"/>
      <c r="D5" s="106"/>
      <c r="E5" s="106"/>
      <c r="F5" s="106"/>
      <c r="G5" s="106"/>
      <c r="I5" s="100">
        <f>Début_Projet-WEEKDAY(Début_Projet,1)+2+7*(Semaine_Affichage-1)</f>
        <v>44753</v>
      </c>
      <c r="J5" s="112">
        <f>I5+1</f>
        <v>44754</v>
      </c>
      <c r="K5" s="121">
        <f t="shared" ref="K5:AX5" si="0">J5+1</f>
        <v>44755</v>
      </c>
      <c r="L5" s="115">
        <f t="shared" si="0"/>
        <v>44756</v>
      </c>
      <c r="M5" s="100">
        <f t="shared" si="0"/>
        <v>44757</v>
      </c>
      <c r="N5" s="100">
        <f t="shared" si="0"/>
        <v>44758</v>
      </c>
      <c r="O5" s="100">
        <f t="shared" si="0"/>
        <v>44759</v>
      </c>
      <c r="P5" s="98">
        <f>O5+1</f>
        <v>44760</v>
      </c>
      <c r="Q5" s="76">
        <f>P5+1</f>
        <v>44761</v>
      </c>
      <c r="R5" s="76">
        <f t="shared" si="0"/>
        <v>44762</v>
      </c>
      <c r="S5" s="76">
        <f t="shared" si="0"/>
        <v>44763</v>
      </c>
      <c r="T5" s="76">
        <f t="shared" si="0"/>
        <v>44764</v>
      </c>
      <c r="U5" s="76">
        <f t="shared" si="0"/>
        <v>44765</v>
      </c>
      <c r="V5" s="77">
        <f t="shared" si="0"/>
        <v>44766</v>
      </c>
      <c r="W5" s="75">
        <f>V5+1</f>
        <v>44767</v>
      </c>
      <c r="X5" s="76">
        <f>W5+1</f>
        <v>44768</v>
      </c>
      <c r="Y5" s="76">
        <f t="shared" si="0"/>
        <v>44769</v>
      </c>
      <c r="Z5" s="76">
        <f t="shared" si="0"/>
        <v>44770</v>
      </c>
      <c r="AA5" s="76">
        <f t="shared" si="0"/>
        <v>44771</v>
      </c>
      <c r="AB5" s="76">
        <f t="shared" si="0"/>
        <v>44772</v>
      </c>
      <c r="AC5" s="77">
        <f t="shared" si="0"/>
        <v>44773</v>
      </c>
      <c r="AD5" s="75">
        <f>AC5+1</f>
        <v>44774</v>
      </c>
      <c r="AE5" s="76">
        <f>AD5+1</f>
        <v>44775</v>
      </c>
      <c r="AF5" s="76">
        <f t="shared" si="0"/>
        <v>44776</v>
      </c>
      <c r="AG5" s="76">
        <f t="shared" si="0"/>
        <v>44777</v>
      </c>
      <c r="AH5" s="76">
        <f t="shared" si="0"/>
        <v>44778</v>
      </c>
      <c r="AI5" s="76">
        <f t="shared" si="0"/>
        <v>44779</v>
      </c>
      <c r="AJ5" s="77">
        <f t="shared" si="0"/>
        <v>44780</v>
      </c>
      <c r="AK5" s="75">
        <f>AJ5+1</f>
        <v>44781</v>
      </c>
      <c r="AL5" s="76">
        <f>AK5+1</f>
        <v>44782</v>
      </c>
      <c r="AM5" s="76">
        <f t="shared" si="0"/>
        <v>44783</v>
      </c>
      <c r="AN5" s="76">
        <f t="shared" si="0"/>
        <v>44784</v>
      </c>
      <c r="AO5" s="76">
        <f t="shared" si="0"/>
        <v>44785</v>
      </c>
      <c r="AP5" s="76">
        <f t="shared" si="0"/>
        <v>44786</v>
      </c>
      <c r="AQ5" s="77">
        <f t="shared" si="0"/>
        <v>44787</v>
      </c>
      <c r="AR5" s="75">
        <f>AQ5+1</f>
        <v>44788</v>
      </c>
      <c r="AS5" s="76">
        <f>AR5+1</f>
        <v>44789</v>
      </c>
      <c r="AT5" s="76">
        <f t="shared" si="0"/>
        <v>44790</v>
      </c>
      <c r="AU5" s="76">
        <f t="shared" si="0"/>
        <v>44791</v>
      </c>
      <c r="AV5" s="76">
        <f t="shared" si="0"/>
        <v>44792</v>
      </c>
      <c r="AW5" s="76">
        <f t="shared" si="0"/>
        <v>44793</v>
      </c>
      <c r="AX5" s="77">
        <f t="shared" si="0"/>
        <v>44794</v>
      </c>
      <c r="AY5" s="75">
        <f t="shared" ref="AY5:BG5" si="1">AX5+1</f>
        <v>44795</v>
      </c>
      <c r="AZ5" s="76">
        <f t="shared" si="1"/>
        <v>44796</v>
      </c>
      <c r="BA5" s="76">
        <f t="shared" si="1"/>
        <v>44797</v>
      </c>
      <c r="BB5" s="76">
        <f t="shared" si="1"/>
        <v>44798</v>
      </c>
      <c r="BC5" s="76">
        <f t="shared" si="1"/>
        <v>44799</v>
      </c>
      <c r="BD5" s="76">
        <f t="shared" si="1"/>
        <v>44800</v>
      </c>
      <c r="BE5" s="77">
        <f t="shared" si="1"/>
        <v>44801</v>
      </c>
      <c r="BF5" s="75">
        <f t="shared" si="1"/>
        <v>44802</v>
      </c>
      <c r="BG5" s="76">
        <f t="shared" si="1"/>
        <v>44803</v>
      </c>
      <c r="BH5" s="76">
        <f t="shared" ref="BH5:BN5" si="2">BG5+1</f>
        <v>44804</v>
      </c>
      <c r="BI5" s="76">
        <f t="shared" si="2"/>
        <v>44805</v>
      </c>
      <c r="BJ5" s="76">
        <f t="shared" si="2"/>
        <v>44806</v>
      </c>
      <c r="BK5" s="76">
        <f t="shared" si="2"/>
        <v>44807</v>
      </c>
      <c r="BL5" s="77">
        <f t="shared" si="2"/>
        <v>44808</v>
      </c>
      <c r="BM5" s="75">
        <f t="shared" si="2"/>
        <v>44809</v>
      </c>
      <c r="BN5" s="76">
        <f t="shared" si="2"/>
        <v>44810</v>
      </c>
      <c r="BO5" s="76">
        <f t="shared" ref="BO5:CG5" si="3">BN5+1</f>
        <v>44811</v>
      </c>
      <c r="BP5" s="76">
        <f t="shared" si="3"/>
        <v>44812</v>
      </c>
      <c r="BQ5" s="76">
        <f t="shared" si="3"/>
        <v>44813</v>
      </c>
      <c r="BR5" s="76">
        <f t="shared" si="3"/>
        <v>44814</v>
      </c>
      <c r="BS5" s="77">
        <f t="shared" si="3"/>
        <v>44815</v>
      </c>
      <c r="BT5" s="75">
        <f t="shared" si="3"/>
        <v>44816</v>
      </c>
      <c r="BU5" s="76">
        <f t="shared" si="3"/>
        <v>44817</v>
      </c>
      <c r="BV5" s="76">
        <f t="shared" si="3"/>
        <v>44818</v>
      </c>
      <c r="BW5" s="76">
        <f t="shared" si="3"/>
        <v>44819</v>
      </c>
      <c r="BX5" s="76">
        <f t="shared" si="3"/>
        <v>44820</v>
      </c>
      <c r="BY5" s="76">
        <f t="shared" si="3"/>
        <v>44821</v>
      </c>
      <c r="BZ5" s="77">
        <f t="shared" si="3"/>
        <v>44822</v>
      </c>
      <c r="CA5" s="75">
        <f t="shared" si="3"/>
        <v>44823</v>
      </c>
      <c r="CB5" s="76">
        <f t="shared" si="3"/>
        <v>44824</v>
      </c>
      <c r="CC5" s="76">
        <f t="shared" si="3"/>
        <v>44825</v>
      </c>
      <c r="CD5" s="76">
        <f t="shared" si="3"/>
        <v>44826</v>
      </c>
      <c r="CE5" s="76">
        <f t="shared" si="3"/>
        <v>44827</v>
      </c>
      <c r="CF5" s="76">
        <f t="shared" si="3"/>
        <v>44828</v>
      </c>
      <c r="CG5" s="77">
        <f t="shared" si="3"/>
        <v>44829</v>
      </c>
    </row>
    <row r="6" spans="1:85" ht="30" customHeight="1" thickBot="1" x14ac:dyDescent="0.3">
      <c r="A6" s="45" t="s">
        <v>5</v>
      </c>
      <c r="B6" s="8" t="s">
        <v>15</v>
      </c>
      <c r="C6" s="9" t="s">
        <v>26</v>
      </c>
      <c r="D6" s="9" t="s">
        <v>27</v>
      </c>
      <c r="E6" s="9" t="s">
        <v>28</v>
      </c>
      <c r="F6" s="9" t="s">
        <v>30</v>
      </c>
      <c r="G6" s="9"/>
      <c r="H6" s="9" t="s">
        <v>31</v>
      </c>
      <c r="I6" s="101" t="str">
        <f t="shared" ref="I6:AN6" si="4">LEFT(TEXT(I5,"jjj"),1)</f>
        <v>l</v>
      </c>
      <c r="J6" s="113" t="str">
        <f t="shared" si="4"/>
        <v>m</v>
      </c>
      <c r="K6" s="122" t="str">
        <f t="shared" si="4"/>
        <v>m</v>
      </c>
      <c r="L6" s="116" t="str">
        <f t="shared" si="4"/>
        <v>j</v>
      </c>
      <c r="M6" s="101" t="str">
        <f t="shared" si="4"/>
        <v>v</v>
      </c>
      <c r="N6" s="101" t="str">
        <f t="shared" si="4"/>
        <v>s</v>
      </c>
      <c r="O6" s="101" t="str">
        <f t="shared" si="4"/>
        <v>d</v>
      </c>
      <c r="P6" s="96"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ref="AO6:BL6" si="5">LEFT(TEXT(AO5,"jjj"),1)</f>
        <v>v</v>
      </c>
      <c r="AP6" s="10" t="str">
        <f t="shared" si="5"/>
        <v>s</v>
      </c>
      <c r="AQ6" s="10" t="str">
        <f t="shared" si="5"/>
        <v>d</v>
      </c>
      <c r="AR6" s="10" t="str">
        <f t="shared" si="5"/>
        <v>l</v>
      </c>
      <c r="AS6" s="10" t="str">
        <f t="shared" si="5"/>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c r="BM6" s="10" t="str">
        <f t="shared" ref="BM6:CG6" si="6">LEFT(TEXT(BM5,"jjj"),1)</f>
        <v>l</v>
      </c>
      <c r="BN6" s="10" t="str">
        <f t="shared" si="6"/>
        <v>m</v>
      </c>
      <c r="BO6" s="10" t="str">
        <f t="shared" si="6"/>
        <v>m</v>
      </c>
      <c r="BP6" s="10" t="str">
        <f t="shared" si="6"/>
        <v>j</v>
      </c>
      <c r="BQ6" s="10" t="str">
        <f t="shared" si="6"/>
        <v>v</v>
      </c>
      <c r="BR6" s="10" t="str">
        <f t="shared" si="6"/>
        <v>s</v>
      </c>
      <c r="BS6" s="10" t="str">
        <f t="shared" si="6"/>
        <v>d</v>
      </c>
      <c r="BT6" s="10" t="str">
        <f t="shared" si="6"/>
        <v>l</v>
      </c>
      <c r="BU6" s="10" t="str">
        <f t="shared" si="6"/>
        <v>m</v>
      </c>
      <c r="BV6" s="10" t="str">
        <f t="shared" si="6"/>
        <v>m</v>
      </c>
      <c r="BW6" s="10" t="str">
        <f t="shared" si="6"/>
        <v>j</v>
      </c>
      <c r="BX6" s="10" t="str">
        <f t="shared" si="6"/>
        <v>v</v>
      </c>
      <c r="BY6" s="10" t="str">
        <f t="shared" si="6"/>
        <v>s</v>
      </c>
      <c r="BZ6" s="10" t="str">
        <f t="shared" si="6"/>
        <v>d</v>
      </c>
      <c r="CA6" s="10" t="str">
        <f t="shared" si="6"/>
        <v>l</v>
      </c>
      <c r="CB6" s="10" t="str">
        <f t="shared" si="6"/>
        <v>m</v>
      </c>
      <c r="CC6" s="10" t="str">
        <f t="shared" si="6"/>
        <v>m</v>
      </c>
      <c r="CD6" s="10" t="str">
        <f t="shared" si="6"/>
        <v>j</v>
      </c>
      <c r="CE6" s="10" t="str">
        <f t="shared" si="6"/>
        <v>v</v>
      </c>
      <c r="CF6" s="10" t="str">
        <f t="shared" si="6"/>
        <v>s</v>
      </c>
      <c r="CG6" s="10" t="str">
        <f t="shared" si="6"/>
        <v>d</v>
      </c>
    </row>
    <row r="7" spans="1:85" ht="30" hidden="1" customHeight="1" thickBot="1" x14ac:dyDescent="0.3">
      <c r="A7" s="44" t="s">
        <v>6</v>
      </c>
      <c r="C7" s="48"/>
      <c r="E7"/>
      <c r="H7" t="str">
        <f>IF(OR(ISBLANK(début_tâche),ISBLANK(fin_tâche)),"",fin_tâche-début_tâche+1)</f>
        <v/>
      </c>
      <c r="I7" s="102"/>
      <c r="J7" s="114"/>
      <c r="K7" s="123"/>
      <c r="L7" s="117"/>
      <c r="M7" s="102"/>
      <c r="N7" s="102"/>
      <c r="O7" s="102"/>
      <c r="P7" s="87"/>
      <c r="Q7" s="31"/>
      <c r="R7" s="31"/>
      <c r="S7" s="31"/>
      <c r="T7" s="31"/>
      <c r="U7" s="126"/>
      <c r="V7" s="126"/>
      <c r="W7" s="126"/>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row>
    <row r="8" spans="1:85" s="3" customFormat="1" ht="30" customHeight="1" thickBot="1" x14ac:dyDescent="0.3">
      <c r="A8" s="45" t="s">
        <v>7</v>
      </c>
      <c r="B8" s="15" t="s">
        <v>54</v>
      </c>
      <c r="C8" s="52"/>
      <c r="D8" s="16"/>
      <c r="E8" s="65"/>
      <c r="F8" s="66"/>
      <c r="G8" s="14"/>
      <c r="H8" s="14" t="str">
        <f t="shared" ref="H8:H34" si="7">IF(OR(ISBLANK(début_tâche),ISBLANK(fin_tâche)),"",fin_tâche-début_tâche+1)</f>
        <v/>
      </c>
      <c r="I8" s="102"/>
      <c r="J8" s="114"/>
      <c r="K8" s="123"/>
      <c r="L8" s="117"/>
      <c r="M8" s="102"/>
      <c r="N8" s="102"/>
      <c r="O8" s="102"/>
      <c r="P8" s="87"/>
      <c r="Q8" s="31"/>
      <c r="R8" s="31"/>
      <c r="S8" s="31"/>
      <c r="T8" s="88"/>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row>
    <row r="9" spans="1:85" s="3" customFormat="1" ht="30" customHeight="1" thickBot="1" x14ac:dyDescent="0.3">
      <c r="A9" s="45" t="s">
        <v>8</v>
      </c>
      <c r="B9" s="103" t="s">
        <v>52</v>
      </c>
      <c r="C9" s="53" t="s">
        <v>48</v>
      </c>
      <c r="D9" s="17">
        <v>0.25</v>
      </c>
      <c r="E9" s="78">
        <v>44760</v>
      </c>
      <c r="F9" s="78">
        <f>E9+6</f>
        <v>44766</v>
      </c>
      <c r="G9" s="14"/>
      <c r="H9" s="14">
        <f t="shared" si="7"/>
        <v>7</v>
      </c>
      <c r="I9" s="97"/>
      <c r="J9" s="99"/>
      <c r="K9" s="128"/>
      <c r="L9" s="129"/>
      <c r="M9" s="130"/>
      <c r="N9" s="130"/>
      <c r="O9" s="130"/>
      <c r="P9" s="131"/>
      <c r="Q9" s="131"/>
      <c r="R9" s="131"/>
      <c r="S9" s="131"/>
      <c r="T9" s="131"/>
      <c r="U9" s="130"/>
      <c r="V9" s="127"/>
      <c r="W9" s="97"/>
      <c r="X9" s="31"/>
      <c r="Y9" s="31"/>
      <c r="Z9" s="31"/>
      <c r="AA9" s="31"/>
      <c r="AB9" s="31"/>
      <c r="AC9" s="31"/>
      <c r="AD9" s="31"/>
      <c r="AE9" s="31"/>
      <c r="AF9" s="31"/>
      <c r="AG9" s="84"/>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row>
    <row r="10" spans="1:85" s="3" customFormat="1" ht="30" customHeight="1" thickBot="1" x14ac:dyDescent="0.3">
      <c r="A10" s="45" t="s">
        <v>9</v>
      </c>
      <c r="B10" s="61" t="s">
        <v>49</v>
      </c>
      <c r="C10" s="53" t="s">
        <v>48</v>
      </c>
      <c r="D10" s="17">
        <v>0</v>
      </c>
      <c r="E10" s="78">
        <f>F9</f>
        <v>44766</v>
      </c>
      <c r="F10" s="78">
        <f>E10</f>
        <v>44766</v>
      </c>
      <c r="G10" s="14"/>
      <c r="H10" s="14">
        <f t="shared" si="7"/>
        <v>1</v>
      </c>
      <c r="I10" s="31"/>
      <c r="J10" s="86"/>
      <c r="K10" s="124"/>
      <c r="L10" s="118"/>
      <c r="M10" s="31"/>
      <c r="N10" s="31"/>
      <c r="O10" s="31"/>
      <c r="P10" s="31"/>
      <c r="Q10" s="31"/>
      <c r="R10" s="31"/>
      <c r="S10" s="31"/>
      <c r="T10" s="31"/>
      <c r="U10" s="31"/>
      <c r="V10" s="31"/>
      <c r="W10" s="31"/>
      <c r="X10" s="31"/>
      <c r="Y10" s="31"/>
      <c r="Z10" s="31"/>
      <c r="AA10" s="31"/>
      <c r="AB10" s="31"/>
      <c r="AC10" s="31"/>
      <c r="AD10" s="31"/>
      <c r="AE10" s="31"/>
      <c r="AF10" s="31"/>
      <c r="AG10" s="84"/>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row>
    <row r="11" spans="1:85" s="3" customFormat="1" ht="30" customHeight="1" thickBot="1" x14ac:dyDescent="0.3">
      <c r="A11" s="44"/>
      <c r="B11" s="61" t="s">
        <v>50</v>
      </c>
      <c r="C11" s="53" t="s">
        <v>48</v>
      </c>
      <c r="D11" s="17">
        <v>0.05</v>
      </c>
      <c r="E11" s="78">
        <v>44760</v>
      </c>
      <c r="F11" s="78">
        <f>E11</f>
        <v>44760</v>
      </c>
      <c r="G11" s="14"/>
      <c r="H11" s="14">
        <f t="shared" si="7"/>
        <v>1</v>
      </c>
      <c r="I11" s="31"/>
      <c r="J11" s="86"/>
      <c r="K11" s="124"/>
      <c r="L11" s="118"/>
      <c r="M11" s="31"/>
      <c r="N11" s="31"/>
      <c r="O11" s="31"/>
      <c r="P11" s="31"/>
      <c r="Q11" s="31"/>
      <c r="R11" s="31"/>
      <c r="S11" s="31"/>
      <c r="T11" s="31"/>
      <c r="U11" s="31"/>
      <c r="V11" s="31"/>
      <c r="W11" s="31"/>
      <c r="X11" s="31"/>
      <c r="Y11" s="31"/>
      <c r="Z11" s="31"/>
      <c r="AA11" s="31"/>
      <c r="AB11" s="31"/>
      <c r="AC11" s="31"/>
      <c r="AD11" s="31"/>
      <c r="AE11" s="31"/>
      <c r="AF11" s="31"/>
      <c r="AG11" s="84"/>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row>
    <row r="12" spans="1:85" s="3" customFormat="1" ht="30" customHeight="1" thickBot="1" x14ac:dyDescent="0.3">
      <c r="A12" s="44"/>
      <c r="B12" s="61" t="s">
        <v>51</v>
      </c>
      <c r="C12" s="53" t="s">
        <v>48</v>
      </c>
      <c r="D12" s="17">
        <v>0</v>
      </c>
      <c r="E12" s="78">
        <f>F11</f>
        <v>44760</v>
      </c>
      <c r="F12" s="78">
        <f>E12+5</f>
        <v>44765</v>
      </c>
      <c r="G12" s="14"/>
      <c r="H12" s="14">
        <f t="shared" si="7"/>
        <v>6</v>
      </c>
      <c r="I12" s="31"/>
      <c r="J12" s="86"/>
      <c r="K12" s="124"/>
      <c r="L12" s="118"/>
      <c r="M12" s="31"/>
      <c r="N12" s="31"/>
      <c r="O12" s="31"/>
      <c r="P12" s="31"/>
      <c r="Q12" s="31"/>
      <c r="R12" s="31"/>
      <c r="S12" s="31"/>
      <c r="T12" s="31"/>
      <c r="U12" s="31"/>
      <c r="V12" s="31"/>
      <c r="W12" s="31"/>
      <c r="X12" s="31"/>
      <c r="Y12" s="31"/>
      <c r="Z12" s="31"/>
      <c r="AA12" s="31"/>
      <c r="AB12" s="31"/>
      <c r="AC12" s="31"/>
      <c r="AD12" s="31"/>
      <c r="AE12" s="84"/>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row>
    <row r="13" spans="1:85" s="3" customFormat="1" ht="30" customHeight="1" thickBot="1" x14ac:dyDescent="0.3">
      <c r="A13" s="44"/>
      <c r="B13" s="61" t="s">
        <v>56</v>
      </c>
      <c r="C13" s="53"/>
      <c r="D13" s="17"/>
      <c r="E13" s="78">
        <f>F12</f>
        <v>44765</v>
      </c>
      <c r="F13" s="78">
        <f>E13+2</f>
        <v>44767</v>
      </c>
      <c r="G13" s="14"/>
      <c r="H13" s="14"/>
      <c r="I13" s="31"/>
      <c r="J13" s="86"/>
      <c r="K13" s="124"/>
      <c r="L13" s="118"/>
      <c r="M13" s="31"/>
      <c r="N13" s="31"/>
      <c r="O13" s="31"/>
      <c r="P13" s="31"/>
      <c r="Q13" s="31"/>
      <c r="R13" s="31"/>
      <c r="S13" s="31"/>
      <c r="T13" s="31"/>
      <c r="U13" s="31"/>
      <c r="V13" s="31"/>
      <c r="W13" s="31"/>
      <c r="X13" s="31"/>
      <c r="Y13" s="31"/>
      <c r="Z13" s="31"/>
      <c r="AA13" s="31"/>
      <c r="AB13" s="31"/>
      <c r="AC13" s="31"/>
      <c r="AD13" s="31"/>
      <c r="AE13" s="31"/>
      <c r="AF13" s="31"/>
      <c r="AG13" s="31"/>
      <c r="AH13" s="31"/>
      <c r="AI13" s="84"/>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row>
    <row r="14" spans="1:85" s="3" customFormat="1" ht="30" customHeight="1" thickBot="1" x14ac:dyDescent="0.3">
      <c r="A14" s="45" t="s">
        <v>10</v>
      </c>
      <c r="B14" s="18" t="s">
        <v>53</v>
      </c>
      <c r="C14" s="54"/>
      <c r="D14" s="19"/>
      <c r="E14" s="67"/>
      <c r="F14" s="68"/>
      <c r="G14" s="14"/>
      <c r="H14" s="14" t="str">
        <f t="shared" si="7"/>
        <v/>
      </c>
      <c r="I14" s="31"/>
      <c r="J14" s="86"/>
      <c r="K14" s="125"/>
      <c r="L14" s="118"/>
      <c r="M14" s="32"/>
      <c r="N14" s="32"/>
      <c r="O14" s="32"/>
      <c r="P14" s="31"/>
      <c r="Q14" s="31"/>
      <c r="R14" s="31"/>
      <c r="S14" s="31"/>
      <c r="T14" s="31"/>
      <c r="U14" s="31"/>
      <c r="V14" s="31"/>
      <c r="W14" s="31"/>
      <c r="X14" s="31"/>
      <c r="Y14" s="31"/>
      <c r="Z14" s="31"/>
      <c r="AA14" s="31"/>
      <c r="AB14" s="31"/>
      <c r="AC14" s="31"/>
      <c r="AD14" s="31"/>
      <c r="AE14" s="31"/>
      <c r="AF14" s="31"/>
      <c r="AG14" s="31"/>
      <c r="AH14" s="31"/>
      <c r="AI14" s="31"/>
      <c r="AJ14" s="84"/>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row>
    <row r="15" spans="1:85" s="3" customFormat="1" ht="30" customHeight="1" thickBot="1" x14ac:dyDescent="0.3">
      <c r="A15" s="45"/>
      <c r="B15" s="55" t="s">
        <v>60</v>
      </c>
      <c r="C15" s="55"/>
      <c r="D15" s="20">
        <v>0</v>
      </c>
      <c r="E15" s="79">
        <f>E13+1</f>
        <v>44766</v>
      </c>
      <c r="F15" s="79">
        <f>E15+4</f>
        <v>44770</v>
      </c>
      <c r="G15" s="14"/>
      <c r="H15" s="14">
        <f t="shared" si="7"/>
        <v>5</v>
      </c>
      <c r="I15" s="31"/>
      <c r="J15" s="86"/>
      <c r="K15" s="120"/>
      <c r="L15" s="93"/>
      <c r="M15" s="84"/>
      <c r="N15" s="84"/>
      <c r="O15" s="84"/>
      <c r="P15" s="32"/>
      <c r="Q15" s="32"/>
      <c r="R15" s="32"/>
      <c r="S15" s="32"/>
      <c r="T15" s="32"/>
      <c r="U15" s="32"/>
      <c r="V15" s="32"/>
      <c r="W15" s="32"/>
      <c r="X15" s="32"/>
      <c r="Y15" s="32"/>
      <c r="Z15" s="32"/>
      <c r="AA15" s="32"/>
      <c r="AB15" s="32"/>
      <c r="AC15" s="32"/>
      <c r="AD15" s="32"/>
      <c r="AE15" s="32"/>
      <c r="AF15" s="32"/>
      <c r="AG15" s="32"/>
      <c r="AH15" s="32"/>
      <c r="AI15" s="32"/>
      <c r="AJ15" s="84"/>
      <c r="AK15" s="31"/>
      <c r="AL15" s="31"/>
      <c r="AM15" s="31"/>
      <c r="AN15" s="31"/>
      <c r="AO15" s="31"/>
      <c r="AP15" s="31"/>
      <c r="AQ15" s="31"/>
      <c r="AR15" s="31"/>
      <c r="AS15" s="31"/>
      <c r="AT15" s="31"/>
      <c r="AU15" s="31"/>
      <c r="AV15" s="31"/>
      <c r="AW15" s="31"/>
      <c r="AX15" s="31"/>
      <c r="AY15" s="31"/>
      <c r="AZ15" s="31"/>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row>
    <row r="16" spans="1:85" s="3" customFormat="1" ht="30" customHeight="1" thickBot="1" x14ac:dyDescent="0.3">
      <c r="A16" s="44"/>
      <c r="B16" s="55" t="s">
        <v>59</v>
      </c>
      <c r="C16" s="55"/>
      <c r="D16" s="20">
        <v>0</v>
      </c>
      <c r="E16" s="79">
        <f>E15+2</f>
        <v>44768</v>
      </c>
      <c r="F16" s="79">
        <f>E16+5</f>
        <v>44773</v>
      </c>
      <c r="G16" s="14"/>
      <c r="H16" s="14">
        <f t="shared" si="7"/>
        <v>6</v>
      </c>
      <c r="I16" s="31"/>
      <c r="J16" s="86"/>
      <c r="K16" s="91"/>
      <c r="L16" s="9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row>
    <row r="17" spans="1:85" s="3" customFormat="1" ht="30" customHeight="1" thickBot="1" x14ac:dyDescent="0.3">
      <c r="A17" s="44"/>
      <c r="B17" s="55" t="s">
        <v>58</v>
      </c>
      <c r="C17" s="55"/>
      <c r="D17" s="20">
        <v>0</v>
      </c>
      <c r="E17" s="79">
        <f>F16</f>
        <v>44773</v>
      </c>
      <c r="F17" s="79">
        <f>E17+3</f>
        <v>44776</v>
      </c>
      <c r="G17" s="14"/>
      <c r="H17" s="14">
        <f t="shared" si="7"/>
        <v>4</v>
      </c>
      <c r="I17" s="31"/>
      <c r="J17" s="86"/>
      <c r="K17" s="91"/>
      <c r="L17" s="95"/>
      <c r="M17" s="84"/>
      <c r="N17" s="84"/>
      <c r="O17" s="84"/>
      <c r="P17" s="84"/>
      <c r="Q17" s="84"/>
      <c r="R17" s="84"/>
      <c r="S17" s="84"/>
      <c r="T17" s="84"/>
      <c r="U17" s="84"/>
      <c r="V17" s="84"/>
      <c r="W17" s="84"/>
      <c r="X17" s="84"/>
      <c r="Y17" s="85"/>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row>
    <row r="18" spans="1:85" s="3" customFormat="1" ht="30" customHeight="1" thickBot="1" x14ac:dyDescent="0.3">
      <c r="A18" s="44"/>
      <c r="B18" s="55" t="s">
        <v>61</v>
      </c>
      <c r="C18" s="55"/>
      <c r="D18" s="20"/>
      <c r="E18" s="79"/>
      <c r="F18" s="79"/>
      <c r="G18" s="14"/>
      <c r="H18" s="14"/>
      <c r="I18" s="31"/>
      <c r="J18" s="86"/>
      <c r="K18" s="91"/>
      <c r="L18" s="95"/>
      <c r="M18" s="84"/>
      <c r="N18" s="84"/>
      <c r="O18" s="84"/>
      <c r="P18" s="84"/>
      <c r="Q18" s="84"/>
      <c r="R18" s="84"/>
      <c r="S18" s="84"/>
      <c r="T18" s="84"/>
      <c r="U18" s="84"/>
      <c r="V18" s="84"/>
      <c r="W18" s="84"/>
      <c r="X18" s="84"/>
      <c r="Y18" s="85"/>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row>
    <row r="19" spans="1:85" s="3" customFormat="1" ht="30" customHeight="1" thickBot="1" x14ac:dyDescent="0.3">
      <c r="A19" s="44"/>
      <c r="B19" s="55" t="s">
        <v>55</v>
      </c>
      <c r="C19" s="92"/>
      <c r="D19" s="20">
        <v>0</v>
      </c>
      <c r="E19" s="79">
        <f>E17</f>
        <v>44773</v>
      </c>
      <c r="F19" s="79">
        <f>E19+2</f>
        <v>44775</v>
      </c>
      <c r="G19" s="14"/>
      <c r="H19" s="14">
        <f t="shared" si="7"/>
        <v>3</v>
      </c>
      <c r="I19" s="31"/>
      <c r="J19" s="86"/>
      <c r="K19" s="91"/>
      <c r="L19" s="95"/>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row>
    <row r="20" spans="1:85" s="3" customFormat="1" ht="30" customHeight="1" thickBot="1" x14ac:dyDescent="0.3">
      <c r="A20" s="44"/>
      <c r="B20" s="55" t="s">
        <v>47</v>
      </c>
      <c r="C20" s="55"/>
      <c r="D20" s="20">
        <v>0</v>
      </c>
      <c r="E20" s="79">
        <f>E19</f>
        <v>44773</v>
      </c>
      <c r="F20" s="79">
        <f>E20+3</f>
        <v>44776</v>
      </c>
      <c r="G20" s="14"/>
      <c r="H20" s="14">
        <f t="shared" si="7"/>
        <v>4</v>
      </c>
      <c r="I20" s="31"/>
      <c r="J20" s="86"/>
      <c r="K20" s="91"/>
      <c r="L20" s="95"/>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row>
    <row r="21" spans="1:85" s="3" customFormat="1" ht="30" customHeight="1" thickBot="1" x14ac:dyDescent="0.3">
      <c r="A21" s="44" t="s">
        <v>11</v>
      </c>
      <c r="B21" s="21" t="s">
        <v>21</v>
      </c>
      <c r="C21" s="56"/>
      <c r="D21" s="22"/>
      <c r="E21" s="69"/>
      <c r="F21" s="70"/>
      <c r="G21" s="14"/>
      <c r="H21" s="14" t="str">
        <f t="shared" si="7"/>
        <v/>
      </c>
      <c r="I21" s="31"/>
      <c r="J21" s="86"/>
      <c r="K21" s="91"/>
      <c r="L21" s="95"/>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row>
    <row r="22" spans="1:85" s="3" customFormat="1" ht="30" customHeight="1" thickBot="1" x14ac:dyDescent="0.3">
      <c r="A22" s="44"/>
      <c r="B22" s="62" t="s">
        <v>16</v>
      </c>
      <c r="C22" s="57"/>
      <c r="D22" s="23">
        <v>0</v>
      </c>
      <c r="E22" s="80">
        <f>E9+15</f>
        <v>44775</v>
      </c>
      <c r="F22" s="80">
        <f>E22+5</f>
        <v>44780</v>
      </c>
      <c r="G22" s="14"/>
      <c r="H22" s="14">
        <f t="shared" si="7"/>
        <v>6</v>
      </c>
      <c r="I22" s="31"/>
      <c r="J22" s="86"/>
      <c r="K22" s="91"/>
      <c r="L22" s="95"/>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row>
    <row r="23" spans="1:85" s="3" customFormat="1" ht="30" customHeight="1" thickBot="1" x14ac:dyDescent="0.3">
      <c r="A23" s="44"/>
      <c r="B23" s="62" t="s">
        <v>17</v>
      </c>
      <c r="C23" s="57"/>
      <c r="D23" s="23">
        <v>0</v>
      </c>
      <c r="E23" s="80">
        <f>F22+1</f>
        <v>44781</v>
      </c>
      <c r="F23" s="80">
        <f>E23+4</f>
        <v>44785</v>
      </c>
      <c r="G23" s="14"/>
      <c r="H23" s="14">
        <f t="shared" si="7"/>
        <v>5</v>
      </c>
      <c r="I23" s="31"/>
      <c r="J23" s="88"/>
      <c r="K23" s="91"/>
      <c r="L23" s="95"/>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row>
    <row r="24" spans="1:85" s="3" customFormat="1" ht="30" customHeight="1" thickBot="1" x14ac:dyDescent="0.3">
      <c r="A24" s="44"/>
      <c r="B24" s="62" t="s">
        <v>18</v>
      </c>
      <c r="C24" s="57"/>
      <c r="D24" s="23">
        <v>0</v>
      </c>
      <c r="E24" s="80">
        <f>E23+5</f>
        <v>44786</v>
      </c>
      <c r="F24" s="80">
        <f>E24+5</f>
        <v>44791</v>
      </c>
      <c r="G24" s="14"/>
      <c r="H24" s="14">
        <f t="shared" si="7"/>
        <v>6</v>
      </c>
      <c r="I24" s="31"/>
      <c r="J24" s="88"/>
      <c r="K24" s="91"/>
      <c r="L24" s="95"/>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row>
    <row r="25" spans="1:85" s="3" customFormat="1" ht="30" customHeight="1" thickBot="1" x14ac:dyDescent="0.3">
      <c r="A25" s="44"/>
      <c r="B25" s="62" t="s">
        <v>19</v>
      </c>
      <c r="C25" s="57"/>
      <c r="D25" s="23">
        <v>0</v>
      </c>
      <c r="E25" s="80">
        <f>F24+1</f>
        <v>44792</v>
      </c>
      <c r="F25" s="80">
        <f>E25+4</f>
        <v>44796</v>
      </c>
      <c r="G25" s="14"/>
      <c r="H25" s="14">
        <f t="shared" si="7"/>
        <v>5</v>
      </c>
      <c r="I25" s="31"/>
      <c r="J25" s="88"/>
      <c r="K25" s="91"/>
      <c r="L25" s="90"/>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row>
    <row r="26" spans="1:85" s="3" customFormat="1" ht="30" customHeight="1" thickBot="1" x14ac:dyDescent="0.3">
      <c r="A26" s="44"/>
      <c r="B26" s="62" t="s">
        <v>20</v>
      </c>
      <c r="C26" s="57"/>
      <c r="D26" s="23">
        <v>0</v>
      </c>
      <c r="E26" s="80">
        <f>E24</f>
        <v>44786</v>
      </c>
      <c r="F26" s="80">
        <f>E26+4</f>
        <v>44790</v>
      </c>
      <c r="G26" s="14"/>
      <c r="H26" s="14">
        <f t="shared" si="7"/>
        <v>5</v>
      </c>
      <c r="I26" s="31"/>
      <c r="J26" s="88"/>
      <c r="K26" s="91"/>
      <c r="L26" s="90"/>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row>
    <row r="27" spans="1:85" s="3" customFormat="1" ht="30" customHeight="1" thickBot="1" x14ac:dyDescent="0.3">
      <c r="A27" s="44" t="s">
        <v>11</v>
      </c>
      <c r="B27" s="24" t="s">
        <v>22</v>
      </c>
      <c r="C27" s="58"/>
      <c r="D27" s="25"/>
      <c r="E27" s="71"/>
      <c r="F27" s="72"/>
      <c r="G27" s="14"/>
      <c r="H27" s="14" t="str">
        <f t="shared" si="7"/>
        <v/>
      </c>
      <c r="I27" s="31"/>
      <c r="J27" s="88"/>
      <c r="K27" s="91"/>
      <c r="L27" s="90"/>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row>
    <row r="28" spans="1:85" s="3" customFormat="1" ht="30" customHeight="1" thickBot="1" x14ac:dyDescent="0.3">
      <c r="A28" s="44"/>
      <c r="B28" s="63" t="s">
        <v>16</v>
      </c>
      <c r="C28" s="59"/>
      <c r="D28" s="26">
        <v>0</v>
      </c>
      <c r="E28" s="81" t="s">
        <v>29</v>
      </c>
      <c r="F28" s="81" t="s">
        <v>29</v>
      </c>
      <c r="G28" s="14"/>
      <c r="H28" s="14" t="e">
        <f t="shared" si="7"/>
        <v>#VALUE!</v>
      </c>
      <c r="I28" s="31"/>
      <c r="J28" s="88"/>
      <c r="K28" s="91"/>
      <c r="L28" s="90"/>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row>
    <row r="29" spans="1:85" s="3" customFormat="1" ht="30" customHeight="1" thickBot="1" x14ac:dyDescent="0.3">
      <c r="A29" s="44"/>
      <c r="B29" s="63" t="s">
        <v>17</v>
      </c>
      <c r="C29" s="59"/>
      <c r="D29" s="26">
        <v>0</v>
      </c>
      <c r="E29" s="81" t="s">
        <v>29</v>
      </c>
      <c r="F29" s="81" t="s">
        <v>29</v>
      </c>
      <c r="G29" s="14"/>
      <c r="H29" s="14" t="e">
        <f t="shared" si="7"/>
        <v>#VALUE!</v>
      </c>
      <c r="I29" s="31"/>
      <c r="J29" s="89"/>
      <c r="K29" s="91"/>
      <c r="L29" s="90"/>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row>
    <row r="30" spans="1:85" s="3" customFormat="1" ht="30" customHeight="1" thickBot="1" x14ac:dyDescent="0.3">
      <c r="A30" s="44"/>
      <c r="B30" s="63" t="s">
        <v>18</v>
      </c>
      <c r="C30" s="59"/>
      <c r="D30" s="26">
        <v>0</v>
      </c>
      <c r="E30" s="81" t="s">
        <v>29</v>
      </c>
      <c r="F30" s="81" t="s">
        <v>29</v>
      </c>
      <c r="G30" s="14"/>
      <c r="H30" s="14" t="e">
        <f t="shared" si="7"/>
        <v>#VALUE!</v>
      </c>
      <c r="I30" s="31"/>
      <c r="J30"/>
      <c r="K30" s="91"/>
      <c r="L30" s="90"/>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row>
    <row r="31" spans="1:85" s="3" customFormat="1" ht="30" customHeight="1" thickBot="1" x14ac:dyDescent="0.3">
      <c r="A31" s="44"/>
      <c r="B31" s="63" t="s">
        <v>19</v>
      </c>
      <c r="C31" s="59"/>
      <c r="D31" s="26">
        <v>0</v>
      </c>
      <c r="E31" s="81" t="s">
        <v>29</v>
      </c>
      <c r="F31" s="81" t="s">
        <v>29</v>
      </c>
      <c r="G31" s="14"/>
      <c r="H31" s="14" t="e">
        <f t="shared" si="7"/>
        <v>#VALUE!</v>
      </c>
      <c r="I31" s="31"/>
      <c r="J31"/>
      <c r="K31" s="91"/>
      <c r="L31" s="90"/>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row>
    <row r="32" spans="1:85" s="3" customFormat="1" ht="30" customHeight="1" thickBot="1" x14ac:dyDescent="0.3">
      <c r="A32" s="44"/>
      <c r="B32" s="63" t="s">
        <v>20</v>
      </c>
      <c r="C32" s="59"/>
      <c r="D32" s="26">
        <v>0</v>
      </c>
      <c r="E32" s="81" t="s">
        <v>29</v>
      </c>
      <c r="F32" s="81" t="s">
        <v>29</v>
      </c>
      <c r="G32" s="14"/>
      <c r="H32" s="14" t="e">
        <f t="shared" si="7"/>
        <v>#VALUE!</v>
      </c>
      <c r="I32" s="31"/>
      <c r="J32"/>
      <c r="K32" s="91"/>
      <c r="L32" s="90"/>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row>
    <row r="33" spans="1:85" s="3" customFormat="1" ht="30" customHeight="1" thickBot="1" x14ac:dyDescent="0.3">
      <c r="A33" s="44" t="s">
        <v>12</v>
      </c>
      <c r="B33" s="64"/>
      <c r="C33" s="60"/>
      <c r="D33" s="13"/>
      <c r="E33" s="82"/>
      <c r="F33" s="82"/>
      <c r="G33" s="14"/>
      <c r="H33" s="14" t="str">
        <f t="shared" si="7"/>
        <v/>
      </c>
      <c r="I33" s="31"/>
      <c r="J33"/>
      <c r="K33" s="91"/>
      <c r="L33" s="90"/>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row>
    <row r="34" spans="1:85" s="3" customFormat="1" ht="30" customHeight="1" thickBot="1" x14ac:dyDescent="0.3">
      <c r="A34" s="45" t="s">
        <v>13</v>
      </c>
      <c r="B34" s="27" t="s">
        <v>23</v>
      </c>
      <c r="C34" s="28"/>
      <c r="D34" s="29"/>
      <c r="E34" s="73"/>
      <c r="F34" s="74"/>
      <c r="G34" s="30"/>
      <c r="H34" s="30" t="str">
        <f t="shared" si="7"/>
        <v/>
      </c>
      <c r="I34" s="32"/>
      <c r="J34"/>
      <c r="K34" s="91"/>
      <c r="L34" s="90"/>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row>
    <row r="35" spans="1:85" ht="30" customHeight="1" x14ac:dyDescent="0.25">
      <c r="G35" s="6"/>
    </row>
    <row r="36" spans="1:85" ht="30" customHeight="1" x14ac:dyDescent="0.25">
      <c r="C36" s="11"/>
      <c r="F36" s="46"/>
    </row>
    <row r="37" spans="1:85" ht="30" customHeight="1" x14ac:dyDescent="0.25">
      <c r="C37" s="12"/>
    </row>
  </sheetData>
  <mergeCells count="15">
    <mergeCell ref="BM4:BS4"/>
    <mergeCell ref="BT4:BZ4"/>
    <mergeCell ref="CA4:CG4"/>
    <mergeCell ref="AY4:BE4"/>
    <mergeCell ref="BF4:BL4"/>
    <mergeCell ref="C3:D3"/>
    <mergeCell ref="C4:D4"/>
    <mergeCell ref="B5:G5"/>
    <mergeCell ref="AK4:AQ4"/>
    <mergeCell ref="AR4:AX4"/>
    <mergeCell ref="E3:F3"/>
    <mergeCell ref="I4:O4"/>
    <mergeCell ref="P4:V4"/>
    <mergeCell ref="W4:AC4"/>
    <mergeCell ref="AD4:AJ4"/>
  </mergeCells>
  <conditionalFormatting sqref="D7:D34">
    <cfRule type="dataBar" priority="2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K13:K14 L13:L15 I9:I34 J10:J29 AV16:CG24 AV26:CG34 I5:CG8">
    <cfRule type="expression" dxfId="35" priority="46">
      <formula>AND(TODAY()&gt;=I$5,TODAY()&lt;J$5)</formula>
    </cfRule>
  </conditionalFormatting>
  <conditionalFormatting sqref="K13:K14 L13:L15 I9:I34 J10:J29 AV16:CG24 AV26:CG34 I7:CG8">
    <cfRule type="expression" dxfId="34" priority="40">
      <formula>AND(début_tâche&lt;=I$5,ROUNDDOWN((fin_tâche-début_tâche+1)*avancement_tâche,0)+début_tâche-1&gt;=I$5)</formula>
    </cfRule>
    <cfRule type="expression" dxfId="33" priority="41" stopIfTrue="1">
      <formula>AND(fin_tâche&gt;=I$5,début_tâche&lt;J$5)</formula>
    </cfRule>
  </conditionalFormatting>
  <conditionalFormatting sqref="Z16:AU24 P14:Y34 K16:O34 M13:O15 Z26:AU34 Z25:AT25">
    <cfRule type="expression" dxfId="32" priority="11">
      <formula>AND(début_tâche&lt;=BS$5,ROUNDDOWN((fin_tâche-début_tâche+1)*avancement_tâche,0)+début_tâche-1&gt;=BS$5)</formula>
    </cfRule>
    <cfRule type="expression" dxfId="31" priority="12" stopIfTrue="1">
      <formula>AND(fin_tâche&gt;=BS$5,début_tâche&lt;BT$5)</formula>
    </cfRule>
  </conditionalFormatting>
  <conditionalFormatting sqref="Z16:AU24 P14:Y34 K16:O34 M13:O15 Z26:AU34 Z25:AT25">
    <cfRule type="expression" dxfId="30" priority="13">
      <formula>AND(TODAY()&gt;=BS$5,TODAY()&lt;BT$5)</formula>
    </cfRule>
  </conditionalFormatting>
  <conditionalFormatting sqref="BA14:CG15">
    <cfRule type="expression" dxfId="29" priority="10">
      <formula>AND(TODAY()&gt;=BQ$5,TODAY()&lt;BR$5)</formula>
    </cfRule>
  </conditionalFormatting>
  <conditionalFormatting sqref="BA14:CG15">
    <cfRule type="expression" dxfId="28" priority="8">
      <formula>AND(début_tâche&lt;=BQ$5,ROUNDDOWN((fin_tâche-début_tâche+1)*avancement_tâche,0)+début_tâche-1&gt;=BQ$5)</formula>
    </cfRule>
    <cfRule type="expression" dxfId="27" priority="9" stopIfTrue="1">
      <formula>AND(fin_tâche&gt;=BQ$5,début_tâche&lt;BR$5)</formula>
    </cfRule>
  </conditionalFormatting>
  <conditionalFormatting sqref="AX9:CG11 AZ13:CF13 K12:AU12">
    <cfRule type="expression" dxfId="26" priority="48">
      <formula>AND(TODAY()&gt;=AB$5,TODAY()&lt;AC$5)</formula>
    </cfRule>
  </conditionalFormatting>
  <conditionalFormatting sqref="AX9:CG11 AZ13:CF13 K12:AU12">
    <cfRule type="expression" dxfId="25" priority="53">
      <formula>AND(début_tâche&lt;=AB$5,ROUNDDOWN((fin_tâche-début_tâche+1)*avancement_tâche,0)+début_tâche-1&gt;=AB$5)</formula>
    </cfRule>
    <cfRule type="expression" dxfId="24" priority="54" stopIfTrue="1">
      <formula>AND(fin_tâche&gt;=AB$5,début_tâche&lt;AC$5)</formula>
    </cfRule>
  </conditionalFormatting>
  <conditionalFormatting sqref="K12:T12">
    <cfRule type="expression" dxfId="23" priority="57">
      <formula>AND(début_tâche&lt;=BX$5,ROUNDDOWN((fin_tâche-début_tâche+1)*avancement_tâche,0)+début_tâche-1&gt;=BX$5)</formula>
    </cfRule>
    <cfRule type="expression" dxfId="22" priority="58" stopIfTrue="1">
      <formula>AND(fin_tâche&gt;=BX$5,début_tâche&lt;BY$5)</formula>
    </cfRule>
  </conditionalFormatting>
  <conditionalFormatting sqref="K12:T12">
    <cfRule type="expression" dxfId="21" priority="60">
      <formula>AND(TODAY()&gt;=BX$5,TODAY()&lt;BY$5)</formula>
    </cfRule>
  </conditionalFormatting>
  <conditionalFormatting sqref="AV12:CG12">
    <cfRule type="expression" dxfId="20" priority="62">
      <formula>AND(TODAY()&gt;=BQ$5,TODAY()&lt;BR$5)</formula>
    </cfRule>
  </conditionalFormatting>
  <conditionalFormatting sqref="AV12:CG12">
    <cfRule type="expression" dxfId="19" priority="65">
      <formula>AND(début_tâche&lt;=BQ$5,ROUNDDOWN((fin_tâche-début_tâche+1)*avancement_tâche,0)+début_tâche-1&gt;=BQ$5)</formula>
    </cfRule>
    <cfRule type="expression" dxfId="18" priority="66" stopIfTrue="1">
      <formula>AND(fin_tâche&gt;=BQ$5,début_tâche&lt;BR$5)</formula>
    </cfRule>
  </conditionalFormatting>
  <conditionalFormatting sqref="P14:AZ15 M13:O14">
    <cfRule type="expression" dxfId="17" priority="67">
      <formula>AND(TODAY()&gt;=Y$5,TODAY()&lt;Z$5)</formula>
    </cfRule>
  </conditionalFormatting>
  <conditionalFormatting sqref="P14:AZ15 M13:O14">
    <cfRule type="expression" dxfId="16" priority="69">
      <formula>AND(début_tâche&lt;=Y$5,ROUNDDOWN((fin_tâche-début_tâche+1)*avancement_tâche,0)+début_tâche-1&gt;=Y$5)</formula>
    </cfRule>
    <cfRule type="expression" dxfId="15" priority="70" stopIfTrue="1">
      <formula>AND(fin_tâche&gt;=Y$5,début_tâche&lt;Z$5)</formula>
    </cfRule>
  </conditionalFormatting>
  <conditionalFormatting sqref="J9 K9:AW11">
    <cfRule type="expression" dxfId="14" priority="73">
      <formula>AND(TODAY()&gt;=Y$5,TODAY()&lt;Z$5)</formula>
    </cfRule>
  </conditionalFormatting>
  <conditionalFormatting sqref="J9 K9:AW11">
    <cfRule type="expression" dxfId="13" priority="74">
      <formula>AND(début_tâche&lt;=Y$5,ROUNDDOWN((fin_tâche-début_tâche+1)*avancement_tâche,0)+début_tâche-1&gt;=Y$5)</formula>
    </cfRule>
    <cfRule type="expression" dxfId="12" priority="75" stopIfTrue="1">
      <formula>AND(fin_tâche&gt;=Y$5,début_tâche&lt;Z$5)</formula>
    </cfRule>
  </conditionalFormatting>
  <conditionalFormatting sqref="P13:X13">
    <cfRule type="expression" dxfId="11" priority="78">
      <formula>AND(début_tâche&lt;=BY$5,ROUNDDOWN((fin_tâche-début_tâche+1)*avancement_tâche,0)+début_tâche-1&gt;=BY$5)</formula>
    </cfRule>
    <cfRule type="expression" dxfId="10" priority="79" stopIfTrue="1">
      <formula>AND(fin_tâche&gt;=BY$5,début_tâche&lt;BZ$5)</formula>
    </cfRule>
  </conditionalFormatting>
  <conditionalFormatting sqref="P13:X13">
    <cfRule type="expression" dxfId="9" priority="81">
      <formula>AND(TODAY()&gt;=BY$5,TODAY()&lt;BZ$5)</formula>
    </cfRule>
  </conditionalFormatting>
  <conditionalFormatting sqref="P13:AY13">
    <cfRule type="expression" dxfId="8" priority="89">
      <formula>AND(TODAY()&gt;=AC$5,TODAY()&lt;AD$5)</formula>
    </cfRule>
  </conditionalFormatting>
  <conditionalFormatting sqref="P13:AY13">
    <cfRule type="expression" dxfId="7" priority="92">
      <formula>AND(début_tâche&lt;=AC$5,ROUNDDOWN((fin_tâche-début_tâche+1)*avancement_tâche,0)+début_tâche-1&gt;=AC$5)</formula>
    </cfRule>
    <cfRule type="expression" dxfId="6" priority="93" stopIfTrue="1">
      <formula>AND(fin_tâche&gt;=AC$5,début_tâche&lt;AD$5)</formula>
    </cfRule>
  </conditionalFormatting>
  <conditionalFormatting sqref="CB25:CG25">
    <cfRule type="expression" dxfId="5" priority="101">
      <formula>AND(TODAY()&gt;=BA$5,TODAY()&lt;BB$5)</formula>
    </cfRule>
  </conditionalFormatting>
  <conditionalFormatting sqref="CB25:CG25">
    <cfRule type="expression" dxfId="4" priority="104">
      <formula>AND(début_tâche&lt;=BA$5,ROUNDDOWN((fin_tâche-début_tâche+1)*avancement_tâche,0)+début_tâche-1&gt;=BA$5)</formula>
    </cfRule>
    <cfRule type="expression" dxfId="3" priority="105" stopIfTrue="1">
      <formula>AND(fin_tâche&gt;=BA$5,début_tâche&lt;BB$5)</formula>
    </cfRule>
  </conditionalFormatting>
  <conditionalFormatting sqref="AU25:CA25">
    <cfRule type="expression" dxfId="2" priority="106">
      <formula>AND(TODAY()&gt;=BA$5,TODAY()&lt;BB$5)</formula>
    </cfRule>
  </conditionalFormatting>
  <conditionalFormatting sqref="AU25:CA25">
    <cfRule type="expression" dxfId="1" priority="107">
      <formula>AND(début_tâche&lt;=BA$5,ROUNDDOWN((fin_tâche-début_tâche+1)*avancement_tâche,0)+début_tâche-1&gt;=BA$5)</formula>
    </cfRule>
    <cfRule type="expression" dxfId="0" priority="108" stopIfTrue="1">
      <formula>AND(fin_tâche&gt;=BA$5,début_tâche&lt;BB$5)</formula>
    </cfRule>
  </conditionalFormatting>
  <dataValidations disablePrompts="1"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9" fitToHeight="0" orientation="landscape" r:id="rId3"/>
  <headerFooter differentFirst="1" scaleWithDoc="0">
    <oddFooter>Page &amp;P of &amp;N</oddFooter>
  </headerFooter>
  <ignoredErrors>
    <ignoredError sqref="F19 F23:F24 E2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6"/>
  <sheetViews>
    <sheetView showGridLines="0" zoomScaleNormal="100" workbookViewId="0">
      <selection activeCell="A5" sqref="A5"/>
    </sheetView>
  </sheetViews>
  <sheetFormatPr baseColWidth="10" defaultColWidth="9.140625" defaultRowHeight="12.75" x14ac:dyDescent="0.2"/>
  <cols>
    <col min="1" max="1" width="91.7109375" style="34" customWidth="1"/>
    <col min="2" max="16384" width="9.140625" style="2"/>
  </cols>
  <sheetData>
    <row r="1" spans="1:2" ht="46.5" customHeight="1" x14ac:dyDescent="0.2"/>
    <row r="2" spans="1:2" s="36" customFormat="1" ht="15.75" x14ac:dyDescent="0.25">
      <c r="A2" s="35" t="s">
        <v>32</v>
      </c>
      <c r="B2" s="35"/>
    </row>
    <row r="3" spans="1:2" s="40" customFormat="1" ht="27" customHeight="1" x14ac:dyDescent="0.25">
      <c r="A3" s="83" t="s">
        <v>33</v>
      </c>
      <c r="B3" s="41"/>
    </row>
    <row r="4" spans="1:2" s="37" customFormat="1" ht="26.25" x14ac:dyDescent="0.4">
      <c r="A4" s="38" t="s">
        <v>34</v>
      </c>
    </row>
    <row r="5" spans="1:2" ht="74.099999999999994" customHeight="1" x14ac:dyDescent="0.2">
      <c r="A5" s="39" t="s">
        <v>35</v>
      </c>
    </row>
    <row r="6" spans="1:2" ht="26.25" customHeight="1" x14ac:dyDescent="0.2">
      <c r="A6" s="38" t="s">
        <v>36</v>
      </c>
    </row>
    <row r="7" spans="1:2" s="34" customFormat="1" ht="204.95" customHeight="1" x14ac:dyDescent="0.25">
      <c r="A7" s="43" t="s">
        <v>37</v>
      </c>
    </row>
    <row r="8" spans="1:2" s="37" customFormat="1" ht="26.25" x14ac:dyDescent="0.4">
      <c r="A8" s="38" t="s">
        <v>38</v>
      </c>
    </row>
    <row r="9" spans="1:2" ht="81" customHeight="1" x14ac:dyDescent="0.2">
      <c r="A9" s="39" t="s">
        <v>39</v>
      </c>
    </row>
    <row r="10" spans="1:2" s="34" customFormat="1" ht="27.95" customHeight="1" x14ac:dyDescent="0.25">
      <c r="A10" s="42" t="s">
        <v>40</v>
      </c>
    </row>
    <row r="11" spans="1:2" s="37" customFormat="1" ht="26.25" x14ac:dyDescent="0.4">
      <c r="A11" s="38" t="s">
        <v>41</v>
      </c>
    </row>
    <row r="12" spans="1:2" ht="33.75" customHeight="1" x14ac:dyDescent="0.2">
      <c r="A12" s="39" t="s">
        <v>42</v>
      </c>
    </row>
    <row r="13" spans="1:2" s="34" customFormat="1" ht="27.95" customHeight="1" x14ac:dyDescent="0.25">
      <c r="A13" s="42" t="s">
        <v>43</v>
      </c>
    </row>
    <row r="14" spans="1:2" s="37" customFormat="1" ht="26.25" x14ac:dyDescent="0.4">
      <c r="A14" s="38" t="s">
        <v>44</v>
      </c>
    </row>
    <row r="15" spans="1:2" ht="81.75" customHeight="1" x14ac:dyDescent="0.2">
      <c r="A15" s="39" t="s">
        <v>45</v>
      </c>
    </row>
    <row r="16" spans="1:2" ht="90" x14ac:dyDescent="0.2">
      <c r="A16" s="39" t="s">
        <v>46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rintOptions horizontalCentered="1"/>
  <pageMargins left="0.35" right="0.35" top="0.35" bottom="0.5" header="0.3" footer="0.3"/>
  <pageSetup paperSize="9" fitToHeight="0" orientation="landscape" r:id="rId5"/>
  <headerFooter differentFirst="1" scaleWithDoc="0">
    <oddFooter>Page &amp;P of &amp;N</odd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2022-07-24T16:24:20Z</dcterms:modified>
</cp:coreProperties>
</file>